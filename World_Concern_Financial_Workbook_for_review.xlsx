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styles.xml" ContentType="application/vnd.openxmlformats-officedocument.spreadsheetml.styles+xml"/>
</ns0: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ce Summary" sheetId="1" r:id="rId1"/>
    <sheet name="Implementation" sheetId="2" r:id="rId2"/>
    <sheet name="Milestones" sheetId="3" r:id="rId3"/>
    <sheet name="Assumptions" sheetId="4" r:id="rId4"/>
  </sheets>
  <calcPr calcId="191029" calcMode="auto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4" Type="http://schemas.openxmlformats.org/officeDocument/2006/relationships/worksheet" Target="worksheets/sheet4.xml" /><ns0:Relationship Id="rId5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sheetViews>
    <sheetView workbookViewId="0" showGridLines="1" zoomScale="85"/>
  </sheetViews>
  <sheetFormatPr defaultRowHeight="15"/>
  <cols>
    <col min="1" max="1" width="44" customWidth="1"/>
    <col min="2" max="2" width="24" customWidth="1"/>
    <col min="3" max="3" width="68" customWidth="1"/>
  </cols>
  <sheetData>
    <row r="1" ht="18" customHeight="1">
      <c r="A1" t="inlineStr" s="1">
        <is>
          <t xml:space="preserve">WORLD CONCERN PAYROLL — FINANCIAL WORKBOOK</t>
        </is>
      </c>
    </row>
    <row r="2" ht="48" customHeight="1">
      <c r="A2" t="inlineStr" s="1">
        <is>
          <t xml:space="preserve">For review only. Indicative planning estimate; not a binding quotation or confirmed budget ceiling.</t>
        </is>
      </c>
    </row>
    <row r="3" ht="78" customHeight="1">
      <c r="A3" t="inlineStr" s="1">
        <is>
          <t xml:space="preserve">Bidder</t>
        </is>
      </c>
      <c r="B3" t="inlineStr" s="1">
        <is>
          <t xml:space="preserve">Amos Kimiti Kariuki — independent individual bidder; eligibility confirmed to bidder by direct clarification</t>
        </is>
      </c>
    </row>
    <row r="4">
      <c r="A4" t="inlineStr" s="1">
        <is>
          <t xml:space="preserve">Price component</t>
        </is>
      </c>
      <c r="B4" t="inlineStr" s="1">
        <is>
          <t xml:space="preserve">Provisional KES</t>
        </is>
      </c>
      <c r="C4" t="inlineStr" s="1">
        <is>
          <t xml:space="preserve">Basis / status</t>
        </is>
      </c>
    </row>
    <row r="5">
      <c r="A5" t="inlineStr" s="1">
        <is>
          <t xml:space="preserve">One-time implementation</t>
        </is>
      </c>
      <c r="B5">
        <f>SUM('Implementation'!B2:B11)</f>
        <v>1310000</v>
      </c>
      <c r="C5" t="inlineStr" s="1">
        <is>
          <t xml:space="preserve">Milestone payments below apply to this amount only</t>
        </is>
      </c>
    </row>
    <row r="6">
      <c r="A6" t="inlineStr" s="1">
        <is>
          <t xml:space="preserve">Annual maintenance and technical support</t>
        </is>
      </c>
      <c r="B6">
        <v>240000</v>
      </c>
      <c r="C6" t="inlineStr" s="1">
        <is>
          <t xml:space="preserve">Annual recurring service; scope/SLA subject to agreement</t>
        </is>
      </c>
    </row>
    <row r="7" ht="48" customHeight="1">
      <c r="A7" t="inlineStr" s="1">
        <is>
          <t xml:space="preserve">Cloud hosting, backups and monitoring per month</t>
        </is>
      </c>
      <c r="B7">
        <v>10000</v>
      </c>
      <c r="C7" t="inlineStr" s="1">
        <is>
          <t xml:space="preserve">Indicative only; subject to provider quotations, architecture, data-protection, backup/recovery requirements and region; no provider selected or contracted.</t>
        </is>
      </c>
    </row>
    <row r="8" ht="33" customHeight="1">
      <c r="A8" t="inlineStr" s="1">
        <is>
          <t xml:space="preserve">Cloud hosting, backups and monitoring per year</t>
        </is>
      </c>
      <c r="B8">
        <f>B7*12</f>
        <v>120000</v>
      </c>
      <c r="C8" t="inlineStr" s="1">
        <is>
          <t xml:space="preserve">Monthly estimate annualized</t>
        </is>
      </c>
    </row>
    <row r="9">
      <c r="A9" t="inlineStr" s="1">
        <is>
          <t xml:space="preserve">Indicative first-year total</t>
        </is>
      </c>
      <c r="B9">
        <f>SUM(B5:B6)+B8</f>
        <v>1670000</v>
      </c>
      <c r="C9" t="inlineStr" s="1">
        <is>
          <t xml:space="preserve">Implementation + one year of support + one year hosting</t>
        </is>
      </c>
    </row>
    <row r="10" ht="33" customHeight="1">
      <c r="A10" t="inlineStr" s="1">
        <is>
          <t xml:space="preserve">Indicative recurring annual total from year two</t>
        </is>
      </c>
      <c r="B10">
        <f>B6+B8</f>
        <v>360000</v>
      </c>
      <c r="C10" t="inlineStr" s="1">
        <is>
          <t xml:space="preserve">Subject to renewal terms and provider pricing</t>
        </is>
      </c>
    </row>
    <row r="11" ht="33" customHeight="1">
      <c r="A11" t="inlineStr" s="1">
        <is>
          <t xml:space="preserve">Separate software licence estimate</t>
        </is>
      </c>
      <c r="B11">
        <v>0</v>
      </c>
      <c r="C11" t="inlineStr" s="1">
        <is>
          <t xml:space="preserve">Initial agreed project scope only; IP/rights to be agreed in contract</t>
        </is>
      </c>
    </row>
    <row r="12" ht="48" customHeight="1">
      <c r="A12" t="inlineStr" s="1">
        <is>
          <t xml:space="preserve">VAT / other applicable tax</t>
        </is>
      </c>
      <c r="B12" t="inlineStr" s="1">
        <is>
          <t xml:space="preserve">Unconfirmed; excluded</t>
        </is>
      </c>
      <c r="C12" t="inlineStr" s="1">
        <is>
          <t xml:space="preserve">Confirm tax treatment before contracting; VAT charged only where legally applicable and bidder authorized or required; itemize applicable taxes under Kenyan law; confirm any eTIMS obligations.</t>
        </is>
      </c>
    </row>
    <row r="13">
      <c r="A13" t="inlineStr" s="1">
        <is>
          <t xml:space="preserve">Budget ceiling</t>
        </is>
      </c>
      <c r="B13" t="inlineStr" s="1">
        <is>
          <t xml:space="preserve">Unknown</t>
        </is>
      </c>
      <c r="C13" t="inlineStr" s="1">
        <is>
          <t xml:space="preserve">KES 1,670,000 is not a buyer ceiling or approved final bid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 showGridLines="1" zoomScale="85"/>
  </sheetViews>
  <sheetFormatPr defaultRowHeight="15"/>
  <cols>
    <col min="1" max="1" width="56" customWidth="1"/>
    <col min="2" max="2" width="19" customWidth="1"/>
  </cols>
  <sheetData>
    <row r="1">
      <c r="A1" t="inlineStr" s="1">
        <is>
          <t xml:space="preserve">One-time implementation item</t>
        </is>
      </c>
      <c r="B1" t="inlineStr">
        <is>
          <t xml:space="preserve">Provisional KES</t>
        </is>
      </c>
    </row>
    <row r="2">
      <c r="A2" t="inlineStr" s="1">
        <is>
          <t xml:space="preserve">Requirements discovery and payroll rules mapping</t>
        </is>
      </c>
      <c r="B2">
        <v>100000</v>
      </c>
    </row>
    <row r="3" ht="33" customHeight="1">
      <c r="A3" t="inlineStr" s="1">
        <is>
          <t xml:space="preserve">System architecture, configuration and security controls</t>
        </is>
      </c>
      <c r="B3">
        <v>150000</v>
      </c>
    </row>
    <row r="4">
      <c r="A4" t="inlineStr" s="1">
        <is>
          <t xml:space="preserve">Employee records and employment management</t>
        </is>
      </c>
      <c r="B4">
        <v>120000</v>
      </c>
    </row>
    <row r="5">
      <c r="A5" t="inlineStr" s="1">
        <is>
          <t xml:space="preserve">Payroll engine, allowances, deductions and arrears</t>
        </is>
      </c>
      <c r="B5">
        <v>250000</v>
      </c>
    </row>
    <row r="6">
      <c r="A6" t="inlineStr" s="1">
        <is>
          <t xml:space="preserve">Kenyan statutory calculations and returns</t>
        </is>
      </c>
      <c r="B6">
        <v>150000</v>
      </c>
    </row>
    <row r="7">
      <c r="A7" t="inlineStr" s="1">
        <is>
          <t xml:space="preserve">Cost-centre allocation and payroll reporting</t>
        </is>
      </c>
      <c r="B7">
        <v>100000</v>
      </c>
    </row>
    <row r="8">
      <c r="A8" t="inlineStr" s="1">
        <is>
          <t xml:space="preserve">Payslips and employee self-service</t>
        </is>
      </c>
      <c r="B8">
        <v>120000</v>
      </c>
    </row>
    <row r="9">
      <c r="A9" t="inlineStr" s="1">
        <is>
          <t xml:space="preserve">HR/accounting integration and data import/export</t>
        </is>
      </c>
      <c r="B9">
        <v>100000</v>
      </c>
    </row>
    <row r="10" ht="33" customHeight="1">
      <c r="A10" t="inlineStr" s="1">
        <is>
          <t xml:space="preserve">Testing, security verification and parallel payroll runs</t>
        </is>
      </c>
      <c r="B10">
        <v>120000</v>
      </c>
    </row>
    <row r="11">
      <c r="A11" t="inlineStr" s="1">
        <is>
          <t xml:space="preserve">Data migration, training and deployment</t>
        </is>
      </c>
      <c r="B11">
        <v>100000</v>
      </c>
    </row>
    <row r="12">
      <c r="A12" t="inlineStr" s="1">
        <is>
          <t xml:space="preserve">Implementation subtotal</t>
        </is>
      </c>
      <c r="B12">
        <f>SUM(B2:B11)</f>
        <v>1310000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 showGridLines="1" zoomScale="85"/>
  </sheetViews>
  <sheetFormatPr defaultRowHeight="15"/>
  <cols>
    <col min="1" max="1" width="42" customWidth="1"/>
    <col min="2" max="2" width="12" customWidth="1"/>
    <col min="3" max="3" width="20" customWidth="1"/>
    <col min="4" max="4" width="58" customWidth="1"/>
  </cols>
  <sheetData>
    <row r="1">
      <c r="A1" t="inlineStr" s="1">
        <is>
          <t xml:space="preserve">Implementation milestone</t>
        </is>
      </c>
      <c r="B1" t="inlineStr">
        <is>
          <t xml:space="preserve">Share</t>
        </is>
      </c>
      <c r="C1" t="inlineStr">
        <is>
          <t xml:space="preserve">Provisional KES</t>
        </is>
      </c>
      <c r="D1" t="inlineStr" s="1">
        <is>
          <t xml:space="preserve">Payment trigger</t>
        </is>
      </c>
    </row>
    <row r="2" ht="33" customHeight="1">
      <c r="A2" t="inlineStr" s="1">
        <is>
          <t xml:space="preserve">Contract signing and approved project kickoff</t>
        </is>
      </c>
      <c r="B2">
        <v>0.2</v>
      </c>
      <c r="C2">
        <f>'Price Summary'!$B$5*B2</f>
        <v>262000</v>
      </c>
      <c r="D2" t="inlineStr" s="1">
        <is>
          <t xml:space="preserve">Signed contract, approved project charter and kickoff</t>
        </is>
      </c>
    </row>
    <row r="3" ht="33" customHeight="1">
      <c r="A3" t="inlineStr" s="1">
        <is>
          <t xml:space="preserve">Requirements and solution design approval</t>
        </is>
      </c>
      <c r="B3">
        <v>0.2</v>
      </c>
      <c r="C3">
        <f>'Price Summary'!$B$5*B3</f>
        <v>262000</v>
      </c>
      <c r="D3" t="inlineStr" s="1">
        <is>
          <t xml:space="preserve">Signed traceability matrix, design baseline and acceptance plan</t>
        </is>
      </c>
    </row>
    <row r="4" ht="33" customHeight="1">
      <c r="A4" t="inlineStr" s="1">
        <is>
          <t xml:space="preserve">Core payroll modules ready for testing</t>
        </is>
      </c>
      <c r="B4">
        <v>0.25</v>
      </c>
      <c r="C4">
        <f>'Price Summary'!$B$5*B4</f>
        <v>327500</v>
      </c>
      <c r="D4" t="inlineStr" s="1">
        <is>
          <t xml:space="preserve">Agreed modules available in test environment with evidence</t>
        </is>
      </c>
    </row>
    <row r="5" ht="33" customHeight="1">
      <c r="A5" t="inlineStr" s="1">
        <is>
          <t xml:space="preserve">UAT and parallel-run acceptance</t>
        </is>
      </c>
      <c r="B5">
        <v>0.25</v>
      </c>
      <c r="C5">
        <f>'Price Summary'!$B$5*B5</f>
        <v>327500</v>
      </c>
      <c r="D5" t="inlineStr" s="1">
        <is>
          <t xml:space="preserve">Signed UAT and two consecutive parallel-run reconciliations</t>
        </is>
      </c>
    </row>
    <row r="6" ht="33" customHeight="1">
      <c r="A6" t="inlineStr" s="1">
        <is>
          <t xml:space="preserve">Deployment and handover</t>
        </is>
      </c>
      <c r="B6">
        <v>0.1</v>
      </c>
      <c r="C6">
        <f>'Price Summary'!$B$5*B6</f>
        <v>131000</v>
      </c>
      <c r="D6" t="inlineStr" s="1">
        <is>
          <t xml:space="preserve">Approved production release (if gates pass), training and handover sign-off</t>
        </is>
      </c>
    </row>
    <row r="7">
      <c r="A7" t="inlineStr" s="1">
        <is>
          <t xml:space="preserve">Implementation milestone total</t>
        </is>
      </c>
      <c r="B7">
        <f>SUM(B2:B6)</f>
        <v>1</v>
      </c>
      <c r="C7">
        <f>SUM(C2:C6)</f>
        <v>1310000</v>
      </c>
      <c r="D7" t="inlineStr" s="1">
        <is>
          <t xml:space="preserve">Recurring charges are excluded from these milestones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workbookViewId="0" showGridLines="1" zoomScale="85"/>
  </sheetViews>
  <sheetFormatPr defaultRowHeight="15"/>
  <cols>
    <col min="1" max="1" width="34" customWidth="1"/>
    <col min="2" max="2" width="72" customWidth="1"/>
  </cols>
  <sheetData>
    <row r="1" ht="33" customHeight="1">
      <c r="A1" t="inlineStr" s="1">
        <is>
          <t xml:space="preserve">Commercial assumption / clarification</t>
        </is>
      </c>
      <c r="B1" t="inlineStr" s="1">
        <is>
          <t xml:space="preserve">Current position</t>
        </is>
      </c>
    </row>
    <row r="2">
      <c r="A2" t="inlineStr" s="1">
        <is>
          <t xml:space="preserve">Document status</t>
        </is>
      </c>
      <c r="B2" t="inlineStr" s="1">
        <is>
          <t xml:space="preserve">Review workbook; provisional estimate, not final binding quotation</t>
        </is>
      </c>
    </row>
    <row r="3">
      <c r="A3" t="inlineStr" s="1">
        <is>
          <t xml:space="preserve">Planning profile</t>
        </is>
      </c>
      <c r="B3" t="inlineStr" s="1">
        <is>
          <t xml:space="preserve">Approximately 50 employees, five offices, one Kenyan payroll entity</t>
        </is>
      </c>
    </row>
    <row r="4" ht="33" customHeight="1">
      <c r="A4" t="inlineStr" s="1">
        <is>
          <t xml:space="preserve">Migration and integrations assumed</t>
        </is>
      </c>
      <c r="B4" t="inlineStr" s="1">
        <is>
          <t xml:space="preserve">One initial CSV/spreadsheet migration; one HR and one accounting exchange, subject to discovery</t>
        </is>
      </c>
    </row>
    <row r="5">
      <c r="A5" t="inlineStr" s="1">
        <is>
          <t xml:space="preserve">Annual maintenance/support</t>
        </is>
      </c>
      <c r="B5" t="inlineStr" s="1">
        <is>
          <t xml:space="preserve">KES 240,000/year estimate; support window/SLA and scope to be agreed</t>
        </is>
      </c>
    </row>
    <row r="6" ht="48" customHeight="1">
      <c r="A6" t="inlineStr" s="1">
        <is>
          <t xml:space="preserve">Hosting</t>
        </is>
      </c>
      <c r="B6" t="inlineStr" s="1">
        <is>
          <t xml:space="preserve">KES 10,000/month indicative allowance only; subject to provider quote, architecture, data-protection requirements, backups/recovery and region; no provider selected or contracted</t>
        </is>
      </c>
    </row>
    <row r="7" ht="33" customHeight="1">
      <c r="A7" t="inlineStr" s="1">
        <is>
          <t xml:space="preserve">Annual recurring services</t>
        </is>
      </c>
      <c r="B7" t="inlineStr" s="1">
        <is>
          <t xml:space="preserve">Invoiced separately under agreed terms; not added again to implementation milestones</t>
        </is>
      </c>
    </row>
    <row r="8" ht="78" customHeight="1">
      <c r="A8" t="inlineStr" s="1">
        <is>
          <t xml:space="preserve">Taxes</t>
        </is>
      </c>
      <c r="B8" t="inlineStr" s="1">
        <is>
          <t xml:space="preserve">Prices are provisional and exclusive of applicable taxes; verify bidder tax obligations, VAT status and service treatment before contract. Charge VAT only where legally applicable and bidder is authorized or required; itemize applicable taxes under Kenyan law. Confirm invoicing/eTIMS obligations.</t>
        </is>
      </c>
    </row>
    <row r="9" ht="33" customHeight="1">
      <c r="A9" t="inlineStr" s="1">
        <is>
          <t xml:space="preserve">Third-party charges</t>
        </is>
      </c>
      <c r="B9" t="inlineStr" s="1">
        <is>
          <t xml:space="preserve">Email/SMS, vendor API, bank, premium hosting and additional licenses excluded until identified and quoted</t>
        </is>
      </c>
    </row>
    <row r="10" ht="33" customHeight="1">
      <c r="A10" t="inlineStr" s="1">
        <is>
          <t xml:space="preserve">Statutory costs</t>
        </is>
      </c>
      <c r="B10" t="inlineStr" s="1">
        <is>
          <t xml:space="preserve">No statutory rates included as certified; source validation and reviewer approval are mandatory project gates</t>
        </is>
      </c>
    </row>
    <row r="11" ht="33" customHeight="1">
      <c r="A11" t="inlineStr" s="1">
        <is>
          <t xml:space="preserve">License / IP</t>
        </is>
      </c>
      <c r="B11" t="inlineStr" s="1">
        <is>
          <t xml:space="preserve">KES 0 separate licence estimate for initial scope only; ownership, source-code and reuse rights require contract terms</t>
        </is>
      </c>
    </row>
    <row r="12" ht="33" customHeight="1">
      <c r="A12" t="inlineStr" s="1">
        <is>
          <t xml:space="preserve">Acceptance protection</t>
        </is>
      </c>
      <c r="B12" t="inlineStr" s="1">
        <is>
          <t xml:space="preserve">Material payroll/statutory/security defects and failed parallel runs block acceptance/go-live</t>
        </is>
      </c>
    </row>
    <row r="13">
      <c r="A13" t="inlineStr" s="1">
        <is>
          <t xml:space="preserve">Budget ceiling</t>
        </is>
      </c>
      <c r="B13" t="inlineStr" s="1">
        <is>
          <t xml:space="preserve">Not provided; the estimate is not a buyer budget ceiling</t>
        </is>
      </c>
    </row>
  </sheetData>
  <pageMargins left="0.7" right="0.7" top="0.75" bottom="0.75" header="0.3" footer="0.3"/>
</worksheet>
</file>