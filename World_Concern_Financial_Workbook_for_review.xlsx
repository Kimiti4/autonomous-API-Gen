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ice Summary" sheetId="1" r:id="rId1"/>
    <sheet name="Implementation" sheetId="2" r:id="rId2"/>
    <sheet name="Milestones" sheetId="3" r:id="rId3"/>
    <sheet name="Assumptions" sheetId="4" r:id="rId4"/>
  </sheets>
  <calcPr calcId="191029" calcMode="auto" fullCalcOnLoad="1" forceFullCalc="1"/>
</workbook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/Relationships>
</file>

<file path=xl/worksheets/sheet1.xml><?xml version="1.0" encoding="utf-8"?>
<ns0:worksheet xmlns:ns0="http://schemas.openxmlformats.org/spreadsheetml/2006/main">
  <ns0:sheetData>
    <ns0:row r="1">
      <ns0:c r="A1" t="inlineStr">
        <ns0:is>
          <ns0:t xml:space="preserve">WORLD CONCERN PAYROLL — FINANCIAL WORKBOOK</ns0:t>
        </ns0:is>
      </ns0:c>
    </ns0:row>
    <ns0:row r="2">
      <ns0:c r="A2" t="inlineStr">
        <ns0:is>
          <ns0:t xml:space="preserve">For review only. Indicative planning estimate; not a binding quotation or confirmed budget ceiling.</ns0:t>
        </ns0:is>
      </ns0:c>
    </ns0:row>
    <ns0:row r="3">
      <ns0:c r="A3" t="inlineStr">
        <ns0:is>
          <ns0:t xml:space="preserve">Bidder</ns0:t>
        </ns0:is>
      </ns0:c>
      <ns0:c r="B3" t="inlineStr">
        <ns0:is>
          <ns0:t xml:space="preserve">Amos Kimiti Kariuki — independent individual bidder; eligibility confirmed to bidder by direct clarification</ns0:t>
        </ns0:is>
      </ns0:c>
    </ns0:row>
    <ns0:row r="4">
      <ns0:c r="A4" t="inlineStr">
        <ns0:is>
          <ns0:t xml:space="preserve">Price component</ns0:t>
        </ns0:is>
      </ns0:c>
      <ns0:c r="B4" t="inlineStr">
        <ns0:is>
          <ns0:t xml:space="preserve">Provisional KES</ns0:t>
        </ns0:is>
      </ns0:c>
      <ns0:c r="C4" t="inlineStr">
        <ns0:is>
          <ns0:t xml:space="preserve">Basis / status</ns0:t>
        </ns0:is>
      </ns0:c>
    </ns0:row>
    <ns0:row r="5">
      <ns0:c r="A5" t="inlineStr">
        <ns0:is>
          <ns0:t xml:space="preserve">One-time implementation</ns0:t>
        </ns0:is>
      </ns0:c>
      <ns0:c r="B5">
        <ns0:f>SUM('Implementation'!B2:B11)</ns0:f>
        <ns0:v>1310000</ns0:v>
      </ns0:c>
      <ns0:c r="C5" t="inlineStr">
        <ns0:is>
          <ns0:t xml:space="preserve">Milestone payments below apply to this amount only</ns0:t>
        </ns0:is>
      </ns0:c>
    </ns0:row>
    <ns0:row r="6">
      <ns0:c r="A6" t="inlineStr">
        <ns0:is>
          <ns0:t xml:space="preserve">Annual maintenance and technical support</ns0:t>
        </ns0:is>
      </ns0:c>
      <ns0:c r="B6">
        <ns0:v>240000</ns0:v>
      </ns0:c>
      <ns0:c r="C6" t="inlineStr">
        <ns0:is>
          <ns0:t xml:space="preserve">Annual recurring service; scope/SLA subject to agreement</ns0:t>
        </ns0:is>
      </ns0:c>
    </ns0:row>
    <ns0:row r="7">
      <ns0:c r="A7" t="inlineStr">
        <ns0:is>
          <ns0:t xml:space="preserve">Cloud hosting, backups and monitoring per month</ns0:t>
        </ns0:is>
      </ns0:c>
      <ns0:c r="B7">
        <ns0:v>10000</ns0:v>
      </ns0:c>
      <ns0:c r="C7" t="inlineStr">
        <ns0:is>
          <ns0:t xml:space="preserve">Indicative only; subject to provider quotations, architecture, data-protection, backup/recovery requirements and region; no provider selected or contracted.</ns0:t>
        </ns0:is>
      </ns0:c>
    </ns0:row>
    <ns0:row r="8">
      <ns0:c r="A8" t="inlineStr">
        <ns0:is>
          <ns0:t xml:space="preserve">Cloud hosting, backups and monitoring per year</ns0:t>
        </ns0:is>
      </ns0:c>
      <ns0:c r="B8">
        <ns0:f>B7*12</ns0:f>
        <ns0:v>120000</ns0:v>
      </ns0:c>
      <ns0:c r="C8" t="inlineStr">
        <ns0:is>
          <ns0:t xml:space="preserve">Monthly estimate annualized</ns0:t>
        </ns0:is>
      </ns0:c>
    </ns0:row>
    <ns0:row r="9">
      <ns0:c r="A9" t="inlineStr">
        <ns0:is>
          <ns0:t xml:space="preserve">Indicative first-year total</ns0:t>
        </ns0:is>
      </ns0:c>
      <ns0:c r="B9">
        <ns0:f>SUM(B5:B6)+B8</ns0:f>
        <ns0:v>1670000</ns0:v>
      </ns0:c>
      <ns0:c r="C9" t="inlineStr">
        <ns0:is>
          <ns0:t xml:space="preserve">Implementation + one year of support + one year hosting</ns0:t>
        </ns0:is>
      </ns0:c>
    </ns0:row>
    <ns0:row r="10">
      <ns0:c r="A10" t="inlineStr">
        <ns0:is>
          <ns0:t xml:space="preserve">Indicative recurring annual total from year two</ns0:t>
        </ns0:is>
      </ns0:c>
      <ns0:c r="B10">
        <ns0:f>B6+B8</ns0:f>
        <ns0:v>360000</ns0:v>
      </ns0:c>
      <ns0:c r="C10" t="inlineStr">
        <ns0:is>
          <ns0:t xml:space="preserve">Subject to renewal terms and provider pricing</ns0:t>
        </ns0:is>
      </ns0:c>
    </ns0:row>
    <ns0:row r="11">
      <ns0:c r="A11" t="inlineStr">
        <ns0:is>
          <ns0:t xml:space="preserve">Separate software licence estimate</ns0:t>
        </ns0:is>
      </ns0:c>
      <ns0:c r="B11">
        <ns0:v>0</ns0:v>
      </ns0:c>
      <ns0:c r="C11" t="inlineStr">
        <ns0:is>
          <ns0:t xml:space="preserve">Initial agreed project scope only; IP/rights to be agreed in contract</ns0:t>
        </ns0:is>
      </ns0:c>
    </ns0:row>
    <ns0:row r="12">
      <ns0:c r="A12" t="inlineStr">
        <ns0:is>
          <ns0:t xml:space="preserve">VAT / other applicable tax</ns0:t>
        </ns0:is>
      </ns0:c>
      <ns0:c r="B12" t="inlineStr">
        <ns0:is>
          <ns0:t xml:space="preserve">Unconfirmed; excluded</ns0:t>
        </ns0:is>
      </ns0:c>
      <ns0:c r="C12" t="inlineStr">
        <ns0:is>
          <ns0:t xml:space="preserve">Confirm tax treatment before contracting; VAT charged only where legally applicable and bidder authorized or required; itemize applicable taxes under Kenyan law; confirm any eTIMS obligations.</ns0:t>
        </ns0:is>
      </ns0:c>
    </ns0:row>
    <ns0:row r="13">
      <ns0:c r="A13" t="inlineStr">
        <ns0:is>
          <ns0:t xml:space="preserve">Budget ceiling</ns0:t>
        </ns0:is>
      </ns0:c>
      <ns0:c r="B13" t="inlineStr">
        <ns0:is>
          <ns0:t xml:space="preserve">Unknown</ns0:t>
        </ns0:is>
      </ns0:c>
      <ns0:c r="C13" t="inlineStr">
        <ns0:is>
          <ns0:t xml:space="preserve">KES 1,670,000 is not a buyer ceiling or approved final bid</ns0:t>
        </ns0:is>
      </ns0:c>
    </ns0:row>
  </ns0:sheetData>
  <ns0:pageMargins left="0.7" right="0.7" top="0.75" bottom="0.75" header="0.3" footer="0.3"/>
</ns0:worksheet>
</file>

<file path=xl/worksheets/sheet2.xml><?xml version="1.0" encoding="utf-8"?>
<worksheet xmlns="http://schemas.openxmlformats.org/spreadsheetml/2006/main">
  <sheetData>
    <row r="1">
      <c r="A1" t="inlineStr">
        <is>
          <t xml:space="preserve">One-time implementation item</t>
        </is>
      </c>
      <c r="B1" t="inlineStr">
        <is>
          <t xml:space="preserve">Provisional KES</t>
        </is>
      </c>
    </row>
    <row r="2">
      <c r="A2" t="inlineStr">
        <is>
          <t xml:space="preserve">Requirements discovery and payroll rules mapping</t>
        </is>
      </c>
      <c r="B2">
        <v>100000</v>
      </c>
    </row>
    <row r="3">
      <c r="A3" t="inlineStr">
        <is>
          <t xml:space="preserve">System architecture, configuration and security controls</t>
        </is>
      </c>
      <c r="B3">
        <v>150000</v>
      </c>
    </row>
    <row r="4">
      <c r="A4" t="inlineStr">
        <is>
          <t xml:space="preserve">Employee records and employment management</t>
        </is>
      </c>
      <c r="B4">
        <v>120000</v>
      </c>
    </row>
    <row r="5">
      <c r="A5" t="inlineStr">
        <is>
          <t xml:space="preserve">Payroll engine, allowances, deductions and arrears</t>
        </is>
      </c>
      <c r="B5">
        <v>250000</v>
      </c>
    </row>
    <row r="6">
      <c r="A6" t="inlineStr">
        <is>
          <t xml:space="preserve">Kenyan statutory calculations and returns</t>
        </is>
      </c>
      <c r="B6">
        <v>150000</v>
      </c>
    </row>
    <row r="7">
      <c r="A7" t="inlineStr">
        <is>
          <t xml:space="preserve">Cost-centre allocation and payroll reporting</t>
        </is>
      </c>
      <c r="B7">
        <v>100000</v>
      </c>
    </row>
    <row r="8">
      <c r="A8" t="inlineStr">
        <is>
          <t xml:space="preserve">Payslips and employee self-service</t>
        </is>
      </c>
      <c r="B8">
        <v>120000</v>
      </c>
    </row>
    <row r="9">
      <c r="A9" t="inlineStr">
        <is>
          <t xml:space="preserve">HR/accounting integration and data import/export</t>
        </is>
      </c>
      <c r="B9">
        <v>100000</v>
      </c>
    </row>
    <row r="10">
      <c r="A10" t="inlineStr">
        <is>
          <t xml:space="preserve">Testing, security verification and parallel payroll runs</t>
        </is>
      </c>
      <c r="B10">
        <v>120000</v>
      </c>
    </row>
    <row r="11">
      <c r="A11" t="inlineStr">
        <is>
          <t xml:space="preserve">Data migration, training and deployment</t>
        </is>
      </c>
      <c r="B11">
        <v>100000</v>
      </c>
    </row>
    <row r="12">
      <c r="A12" t="inlineStr">
        <is>
          <t xml:space="preserve">Implementation subtotal</t>
        </is>
      </c>
      <c r="B12">
        <f>SUM(B2:B11)</f>
        <v>1310000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Data>
    <row r="1">
      <c r="A1" t="inlineStr">
        <is>
          <t xml:space="preserve">Implementation milestone</t>
        </is>
      </c>
      <c r="B1" t="inlineStr">
        <is>
          <t xml:space="preserve">Share</t>
        </is>
      </c>
      <c r="C1" t="inlineStr">
        <is>
          <t xml:space="preserve">Provisional KES</t>
        </is>
      </c>
      <c r="D1" t="inlineStr">
        <is>
          <t xml:space="preserve">Payment trigger</t>
        </is>
      </c>
    </row>
    <row r="2">
      <c r="A2" t="inlineStr">
        <is>
          <t xml:space="preserve">Contract signing and approved project kickoff</t>
        </is>
      </c>
      <c r="B2">
        <v>0.2</v>
      </c>
      <c r="C2">
        <f>'Price Summary'!$B$5*B2</f>
        <v>262000</v>
      </c>
      <c r="D2" t="inlineStr">
        <is>
          <t xml:space="preserve">Signed contract, approved project charter and kickoff</t>
        </is>
      </c>
    </row>
    <row r="3">
      <c r="A3" t="inlineStr">
        <is>
          <t xml:space="preserve">Requirements and solution design approval</t>
        </is>
      </c>
      <c r="B3">
        <v>0.2</v>
      </c>
      <c r="C3">
        <f>'Price Summary'!$B$5*B3</f>
        <v>262000</v>
      </c>
      <c r="D3" t="inlineStr">
        <is>
          <t xml:space="preserve">Signed traceability matrix, design baseline and acceptance plan</t>
        </is>
      </c>
    </row>
    <row r="4">
      <c r="A4" t="inlineStr">
        <is>
          <t xml:space="preserve">Core payroll modules ready for testing</t>
        </is>
      </c>
      <c r="B4">
        <v>0.25</v>
      </c>
      <c r="C4">
        <f>'Price Summary'!$B$5*B4</f>
        <v>327500</v>
      </c>
      <c r="D4" t="inlineStr">
        <is>
          <t xml:space="preserve">Agreed modules available in test environment with evidence</t>
        </is>
      </c>
    </row>
    <row r="5">
      <c r="A5" t="inlineStr">
        <is>
          <t xml:space="preserve">UAT and parallel-run acceptance</t>
        </is>
      </c>
      <c r="B5">
        <v>0.25</v>
      </c>
      <c r="C5">
        <f>'Price Summary'!$B$5*B5</f>
        <v>327500</v>
      </c>
      <c r="D5" t="inlineStr">
        <is>
          <t xml:space="preserve">Signed UAT and two consecutive parallel-run reconciliations</t>
        </is>
      </c>
    </row>
    <row r="6">
      <c r="A6" t="inlineStr">
        <is>
          <t xml:space="preserve">Deployment and handover</t>
        </is>
      </c>
      <c r="B6">
        <v>0.1</v>
      </c>
      <c r="C6">
        <f>'Price Summary'!$B$5*B6</f>
        <v>131000</v>
      </c>
      <c r="D6" t="inlineStr">
        <is>
          <t xml:space="preserve">Approved production release (if gates pass), training and handover sign-off</t>
        </is>
      </c>
    </row>
    <row r="7">
      <c r="A7" t="inlineStr">
        <is>
          <t xml:space="preserve">Implementation milestone total</t>
        </is>
      </c>
      <c r="B7">
        <f>SUM(B2:B6)</f>
        <v>1</v>
      </c>
      <c r="C7">
        <f>SUM(C2:C6)</f>
        <v>1310000</v>
      </c>
      <c r="D7" t="inlineStr">
        <is>
          <t xml:space="preserve">Recurring charges are excluded from these milestones</t>
        </is>
      </c>
    </row>
  </sheetData>
  <pageMargins left="0.7" right="0.7" top="0.75" bottom="0.75" header="0.3" footer="0.3"/>
</worksheet>
</file>

<file path=xl/worksheets/sheet4.xml><?xml version="1.0" encoding="utf-8"?>
<ns0:worksheet xmlns:ns0="http://schemas.openxmlformats.org/spreadsheetml/2006/main">
  <ns0:sheetData>
    <ns0:row r="1">
      <ns0:c r="A1" t="inlineStr">
        <ns0:is>
          <ns0:t xml:space="preserve">Commercial assumption / clarification</ns0:t>
        </ns0:is>
      </ns0:c>
      <ns0:c r="B1" t="inlineStr">
        <ns0:is>
          <ns0:t xml:space="preserve">Current position</ns0:t>
        </ns0:is>
      </ns0:c>
    </ns0:row>
    <ns0:row r="2">
      <ns0:c r="A2" t="inlineStr">
        <ns0:is>
          <ns0:t xml:space="preserve">Document status</ns0:t>
        </ns0:is>
      </ns0:c>
      <ns0:c r="B2" t="inlineStr">
        <ns0:is>
          <ns0:t xml:space="preserve">Review workbook; provisional estimate, not final binding quotation</ns0:t>
        </ns0:is>
      </ns0:c>
    </ns0:row>
    <ns0:row r="3">
      <ns0:c r="A3" t="inlineStr">
        <ns0:is>
          <ns0:t xml:space="preserve">Planning profile</ns0:t>
        </ns0:is>
      </ns0:c>
      <ns0:c r="B3" t="inlineStr">
        <ns0:is>
          <ns0:t xml:space="preserve">Approximately 50 employees, five offices, one Kenyan payroll entity</ns0:t>
        </ns0:is>
      </ns0:c>
    </ns0:row>
    <ns0:row r="4">
      <ns0:c r="A4" t="inlineStr">
        <ns0:is>
          <ns0:t xml:space="preserve">Migration and integrations assumed</ns0:t>
        </ns0:is>
      </ns0:c>
      <ns0:c r="B4" t="inlineStr">
        <ns0:is>
          <ns0:t xml:space="preserve">One initial CSV/spreadsheet migration; one HR and one accounting exchange, subject to discovery</ns0:t>
        </ns0:is>
      </ns0:c>
    </ns0:row>
    <ns0:row r="5">
      <ns0:c r="A5" t="inlineStr">
        <ns0:is>
          <ns0:t xml:space="preserve">Annual maintenance/support</ns0:t>
        </ns0:is>
      </ns0:c>
      <ns0:c r="B5" t="inlineStr">
        <ns0:is>
          <ns0:t xml:space="preserve">KES 240,000/year estimate; support window/SLA and scope to be agreed</ns0:t>
        </ns0:is>
      </ns0:c>
    </ns0:row>
    <ns0:row r="6">
      <ns0:c r="A6" t="inlineStr">
        <ns0:is>
          <ns0:t xml:space="preserve">Hosting</ns0:t>
        </ns0:is>
      </ns0:c>
      <ns0:c r="B6" t="inlineStr">
        <ns0:is>
          <ns0:t xml:space="preserve">KES 10,000/month indicative allowance only; subject to provider quote, architecture, data-protection requirements, backups/recovery and region; no provider selected or contracted</ns0:t>
        </ns0:is>
      </ns0:c>
    </ns0:row>
    <ns0:row r="7">
      <ns0:c r="A7" t="inlineStr">
        <ns0:is>
          <ns0:t xml:space="preserve">Annual recurring services</ns0:t>
        </ns0:is>
      </ns0:c>
      <ns0:c r="B7" t="inlineStr">
        <ns0:is>
          <ns0:t xml:space="preserve">Invoiced separately under agreed terms; not added again to implementation milestones</ns0:t>
        </ns0:is>
      </ns0:c>
    </ns0:row>
    <ns0:row r="8">
      <ns0:c r="A8" t="inlineStr">
        <ns0:is>
          <ns0:t xml:space="preserve">Taxes</ns0:t>
        </ns0:is>
      </ns0:c>
      <ns0:c r="B8" t="inlineStr">
        <ns0:is>
          <ns0:t xml:space="preserve">Prices are provisional and exclusive of applicable taxes; verify bidder tax obligations, VAT status and service treatment before contract. Charge VAT only where legally applicable and bidder is authorized or required; itemize applicable taxes under Kenyan law. Confirm invoicing/eTIMS obligations.</ns0:t>
        </ns0:is>
      </ns0:c>
    </ns0:row>
    <ns0:row r="9">
      <ns0:c r="A9" t="inlineStr">
        <ns0:is>
          <ns0:t xml:space="preserve">Third-party charges</ns0:t>
        </ns0:is>
      </ns0:c>
      <ns0:c r="B9" t="inlineStr">
        <ns0:is>
          <ns0:t xml:space="preserve">Email/SMS, vendor API, bank, premium hosting and additional licenses excluded until identified and quoted</ns0:t>
        </ns0:is>
      </ns0:c>
    </ns0:row>
    <ns0:row r="10">
      <ns0:c r="A10" t="inlineStr">
        <ns0:is>
          <ns0:t xml:space="preserve">Statutory costs</ns0:t>
        </ns0:is>
      </ns0:c>
      <ns0:c r="B10" t="inlineStr">
        <ns0:is>
          <ns0:t xml:space="preserve">No statutory rates included as certified; source validation and reviewer approval are mandatory project gates</ns0:t>
        </ns0:is>
      </ns0:c>
    </ns0:row>
    <ns0:row r="11">
      <ns0:c r="A11" t="inlineStr">
        <ns0:is>
          <ns0:t xml:space="preserve">License / IP</ns0:t>
        </ns0:is>
      </ns0:c>
      <ns0:c r="B11" t="inlineStr">
        <ns0:is>
          <ns0:t xml:space="preserve">KES 0 separate licence estimate for initial scope only; ownership, source-code and reuse rights require contract terms</ns0:t>
        </ns0:is>
      </ns0:c>
    </ns0:row>
    <ns0:row r="12">
      <ns0:c r="A12" t="inlineStr">
        <ns0:is>
          <ns0:t xml:space="preserve">Acceptance protection</ns0:t>
        </ns0:is>
      </ns0:c>
      <ns0:c r="B12" t="inlineStr">
        <ns0:is>
          <ns0:t xml:space="preserve">Material payroll/statutory/security defects and failed parallel runs block acceptance/go-live</ns0:t>
        </ns0:is>
      </ns0:c>
    </ns0:row>
    <ns0:row r="13">
      <ns0:c r="A13" t="inlineStr">
        <ns0:is>
          <ns0:t xml:space="preserve">Budget ceiling</ns0:t>
        </ns0:is>
      </ns0:c>
      <ns0:c r="B13" t="inlineStr">
        <ns0:is>
          <ns0:t xml:space="preserve">Not provided; the estimate is not a buyer budget ceiling</ns0:t>
        </ns0:is>
      </ns0:c>
    </ns0:row>
  </ns0:sheetData>
  <ns0:pageMargins left="0.7" right="0.7" top="0.75" bottom="0.75" header="0.3" footer="0.3"/>
</ns0:worksheet>
</file>